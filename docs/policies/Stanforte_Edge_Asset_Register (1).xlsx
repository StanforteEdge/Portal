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 Register" sheetId="1" state="visible" r:id="rId3"/>
    <sheet name="Instructions &amp; Notes" sheetId="2" state="visible" r:id="rId4"/>
    <sheet name="Disposal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<sst xmlns="http://schemas.openxmlformats.org/spreadsheetml/2006/main" count="176" uniqueCount="134">
  <si>
    <t xml:space="preserve">STANFORTE EDGE LTD/GTE  —  PROJECT ENABLE AFRICA</t>
  </si>
  <si>
    <t xml:space="preserve">FIXED ASSET REGISTER</t>
  </si>
  <si>
    <t xml:space="preserve">Capitalisation threshold: ₦50,000 and above | Useful life: &gt;1 year | Depreciation method: Straight-Line | Policy reference: Financial Policy &amp; Procedures Manual v1.01 — Section 8</t>
  </si>
  <si>
    <t xml:space="preserve">Asset ID</t>
  </si>
  <si>
    <t xml:space="preserve">Asset Description</t>
  </si>
  <si>
    <t xml:space="preserve">Category</t>
  </si>
  <si>
    <t xml:space="preserve">Serial / Tag No.</t>
  </si>
  <si>
    <t xml:space="preserve">Location / Project</t>
  </si>
  <si>
    <t xml:space="preserve">Assigned To</t>
  </si>
  <si>
    <t xml:space="preserve">Date of Purchase</t>
  </si>
  <si>
    <t xml:space="preserve">Supplier</t>
  </si>
  <si>
    <t xml:space="preserve">Purchase Cost (₦)</t>
  </si>
  <si>
    <t xml:space="preserve">Useful Life (Yrs)</t>
  </si>
  <si>
    <t xml:space="preserve">Depreciation Rate</t>
  </si>
  <si>
    <t xml:space="preserve">Depreciation p.a. (₦)</t>
  </si>
  <si>
    <t xml:space="preserve">Accumulated Dep. (₦)</t>
  </si>
  <si>
    <t xml:space="preserve">Net Book Value (₦)</t>
  </si>
  <si>
    <t xml:space="preserve">Condition</t>
  </si>
  <si>
    <t xml:space="preserve">Last Verified Date</t>
  </si>
  <si>
    <t xml:space="preserve">Verified By</t>
  </si>
  <si>
    <t xml:space="preserve">Notes / Remarks</t>
  </si>
  <si>
    <t xml:space="preserve">SEA-001</t>
  </si>
  <si>
    <t xml:space="preserve">Dell Laptop (15.6")</t>
  </si>
  <si>
    <t xml:space="preserve">IT Equipment</t>
  </si>
  <si>
    <t xml:space="preserve">SN-DL-00124</t>
  </si>
  <si>
    <t xml:space="preserve">Head Office</t>
  </si>
  <si>
    <t xml:space="preserve">Finance Officer</t>
  </si>
  <si>
    <t xml:space="preserve">2023-06-15</t>
  </si>
  <si>
    <t xml:space="preserve">TechWorld Nig Ltd</t>
  </si>
  <si>
    <t xml:space="preserve">Good</t>
  </si>
  <si>
    <t xml:space="preserve">2025-01-31</t>
  </si>
  <si>
    <t xml:space="preserve">SEA-002</t>
  </si>
  <si>
    <t xml:space="preserve">HP LaserJet Printer</t>
  </si>
  <si>
    <t xml:space="preserve">SN-HP-00078</t>
  </si>
  <si>
    <t xml:space="preserve">Admin Officer</t>
  </si>
  <si>
    <t xml:space="preserve">SEA-003</t>
  </si>
  <si>
    <t xml:space="preserve">Office Table (Executive)</t>
  </si>
  <si>
    <t xml:space="preserve">Furniture &amp; Fittings</t>
  </si>
  <si>
    <t xml:space="preserve">FRN-OT-001</t>
  </si>
  <si>
    <t xml:space="preserve">Executive Director</t>
  </si>
  <si>
    <t xml:space="preserve">2022-01-10</t>
  </si>
  <si>
    <t xml:space="preserve">Furnish Plus Ltd</t>
  </si>
  <si>
    <t xml:space="preserve">SEA-004</t>
  </si>
  <si>
    <t xml:space="preserve">Conference Chairs (x6)</t>
  </si>
  <si>
    <t xml:space="preserve">FRN-CC-001</t>
  </si>
  <si>
    <t xml:space="preserve">SEA-005</t>
  </si>
  <si>
    <t xml:space="preserve">Projector (Epson EB-X51)</t>
  </si>
  <si>
    <t xml:space="preserve">AV Equipment</t>
  </si>
  <si>
    <t xml:space="preserve">SN-EP-00032</t>
  </si>
  <si>
    <t xml:space="preserve">Project Enable Africa</t>
  </si>
  <si>
    <t xml:space="preserve">Program Officer</t>
  </si>
  <si>
    <t xml:space="preserve">2024-03-01</t>
  </si>
  <si>
    <t xml:space="preserve">AV Solutions Ltd</t>
  </si>
  <si>
    <t xml:space="preserve">TOTALS</t>
  </si>
  <si>
    <t xml:space="preserve">OWNERSHIP NOTE: The Finance Team owns and maintains this register. Procurement must notify Finance of all qualifying asset purchases within 5 working days of delivery, providing invoice, delivery note, serial number and asset location.</t>
  </si>
  <si>
    <t xml:space="preserve">ASSET REGISTER — INSTRUCTIONS &amp; NOTES</t>
  </si>
  <si>
    <t xml:space="preserve">Stanforte Edge Ltd/Gte  |  Project Enable Africa  |  Financial Policy &amp; Procedures Manual v1.01 — Section 8</t>
  </si>
  <si>
    <t xml:space="preserve">COLUMN GUIDE</t>
  </si>
  <si>
    <t xml:space="preserve">Unique identifier. Format: SEA-XXX (Stanforte Edge Asset). Number sequentially. Never reuse an ID.</t>
  </si>
  <si>
    <t xml:space="preserve">Full name and key specs of the asset (e.g. Dell Laptop 15.6", 16GB RAM).</t>
  </si>
  <si>
    <t xml:space="preserve">Select from dropdown: IT Equipment, Furniture &amp; Fittings, AV Equipment, Office Equipment, Vehicle, Generator, Other.</t>
  </si>
  <si>
    <t xml:space="preserve">Manufacturer serial number or internal asset tag. Affix a physical tag to each asset.</t>
  </si>
  <si>
    <t xml:space="preserve">Where the asset is normally kept or which project it is assigned to.</t>
  </si>
  <si>
    <t xml:space="preserve">Name and role of staff member responsible for the asset.</t>
  </si>
  <si>
    <t xml:space="preserve">Actual purchase date (DD-MMM-YYYY). Used to calculate age and depreciation.</t>
  </si>
  <si>
    <t xml:space="preserve">Name of vendor or supplier from whom the asset was purchased.</t>
  </si>
  <si>
    <t xml:space="preserve">Actual cost paid inclusive of delivery. Must be ₦50,000 or above to be capitalised per policy.</t>
  </si>
  <si>
    <t xml:space="preserve">Estimated useful life in years. Standard rates: IT Equipment = 3 yrs; Furniture = 5 yrs; Vehicles = 5 yrs; Generators = 7 yrs.</t>
  </si>
  <si>
    <t xml:space="preserve">Auto-calculated as 1 ÷ Useful Life. Do not edit.</t>
  </si>
  <si>
    <t xml:space="preserve">Depreciation p.a.</t>
  </si>
  <si>
    <t xml:space="preserve">Auto-calculated: Purchase Cost ÷ Useful Life. Annual straight-line depreciation charge.</t>
  </si>
  <si>
    <t xml:space="preserve">Accumulated Dep.</t>
  </si>
  <si>
    <t xml:space="preserve">Total depreciation to date. Update each year-end: = Dep p.a. × Number of completed years.</t>
  </si>
  <si>
    <t xml:space="preserve">Auto-calculated: Purchase Cost − Accumulated Depreciation.</t>
  </si>
  <si>
    <t xml:space="preserve">Select from dropdown: Good / Fair / Poor / Disposed / Under Repair. Update at each verification.</t>
  </si>
  <si>
    <t xml:space="preserve">Date of most recent physical verification of the asset's existence and condition.</t>
  </si>
  <si>
    <t xml:space="preserve">Name of staff member who conducted the verification.</t>
  </si>
  <si>
    <t xml:space="preserve">Any relevant notes: maintenance history, warranty expiry, donor-funded asset details, disposal notes etc.</t>
  </si>
  <si>
    <t xml:space="preserve">POLICY REQUIREMENTS (Financial Policy &amp; Procedures Manual v1.01 — Section 8)</t>
  </si>
  <si>
    <t xml:space="preserve">Capitalisation threshold</t>
  </si>
  <si>
    <t xml:space="preserve">Assets costing ₦50,000 or above AND with a useful life of more than 1 year must be capitalised and added to this register.</t>
  </si>
  <si>
    <t xml:space="preserve">Depreciation method</t>
  </si>
  <si>
    <t xml:space="preserve">Straight-line method applies to all capitalised assets. Rates reviewed annually.</t>
  </si>
  <si>
    <t xml:space="preserve">Annual review</t>
  </si>
  <si>
    <t xml:space="preserve">The Finance Team must reconcile and verify this register at least once per year (recommended: December/January).</t>
  </si>
  <si>
    <t xml:space="preserve">Donor-funded assets</t>
  </si>
  <si>
    <t xml:space="preserve">Assets purchased with donor/grant funds must be noted in the Remarks column and managed per donor agreement requirements.</t>
  </si>
  <si>
    <t xml:space="preserve">Board approval</t>
  </si>
  <si>
    <t xml:space="preserve">Disposal or write-off of assets requires Executive Director approval and notification to the Board of Directors.</t>
  </si>
  <si>
    <t xml:space="preserve">Project assets</t>
  </si>
  <si>
    <t xml:space="preserve">Assets procured for a specific project are expensed as project costs and may still be recorded here for tracking purposes.</t>
  </si>
  <si>
    <t xml:space="preserve">Record retention</t>
  </si>
  <si>
    <t xml:space="preserve">This register and supporting purchase documentation must be retained for a minimum of 10 years per Financial Policy Section 9.5.</t>
  </si>
  <si>
    <t xml:space="preserve">DISPOSAL PROCEDURE</t>
  </si>
  <si>
    <t xml:space="preserve">Step 1 — Identify</t>
  </si>
  <si>
    <t xml:space="preserve">Finance Team identifies asset for disposal (end of life, damage, obsolescence, project close-out).</t>
  </si>
  <si>
    <t xml:space="preserve">Step 2 — Approval</t>
  </si>
  <si>
    <t xml:space="preserve">Write-off or disposal requires Executive Director approval. Board of Directors notified for assets with NBV above ₦500,000.</t>
  </si>
  <si>
    <t xml:space="preserve">Step 3 — Record</t>
  </si>
  <si>
    <t xml:space="preserve">Update Condition column to 'Disposed'. Record disposal date and method in Notes/Remarks.</t>
  </si>
  <si>
    <t xml:space="preserve">Step 4 — Accounting</t>
  </si>
  <si>
    <t xml:space="preserve">Remove asset from balance sheet. Record any gain/loss on disposal in the accounting software (Zoho Books).</t>
  </si>
  <si>
    <t xml:space="preserve">Step 5 — Donor</t>
  </si>
  <si>
    <t xml:space="preserve">If the asset was donor-funded, notify the donor as required by the grant agreement before disposal.</t>
  </si>
  <si>
    <t xml:space="preserve">OWNERSHIP &amp; RESPONSIBILITIES</t>
  </si>
  <si>
    <t xml:space="preserve">Document Owner</t>
  </si>
  <si>
    <t xml:space="preserve">Finance Team (Finance Officer / Finance Manager). The Asset Register is a financial document that feeds directly into the organisation's balance sheet, depreciation schedule and audit records.</t>
  </si>
  <si>
    <t xml:space="preserve">Finance Responsibilities</t>
  </si>
  <si>
    <t xml:space="preserve">Maintain and update the register; record all new qualifying assets; calculate and update depreciation annually; reconcile the register against the accounting software (Zoho Books); present the register at audit; retain all purchase documentation for a minimum of 10 years.</t>
  </si>
  <si>
    <t xml:space="preserve">Procurement Responsibilities</t>
  </si>
  <si>
    <t xml:space="preserve">Notify Finance of all qualifying asset purchases (₦50,000 and above, useful life &gt;1 year) within 5 working days of delivery. Provide Finance with: purchase invoice, delivery note, serial number, and physical location of the asset.</t>
  </si>
  <si>
    <t xml:space="preserve">Physical Tagging</t>
  </si>
  <si>
    <t xml:space="preserve">Procurement is responsible for affixing an asset tag to each newly acquired asset upon delivery. The tag number must be recorded in the 'Serial / Tag No.' column of this register by Finance.</t>
  </si>
  <si>
    <t xml:space="preserve">Annual Verification</t>
  </si>
  <si>
    <t xml:space="preserve">The Finance Team conducts an annual physical verification of all assets on the register, confirming existence, condition and location. Procurement and relevant department heads must cooperate with this exercise.</t>
  </si>
  <si>
    <t xml:space="preserve">Policy Reference</t>
  </si>
  <si>
    <t xml:space="preserve">Financial Policy &amp; Procedures Manual v1.01 — Section 8 (Asset Management). Ownership of this register rests with Finance. Any queries on asset classification or procurement process should be directed to the Finance Manager.</t>
  </si>
  <si>
    <t xml:space="preserve">STANFORTE EDGE LTD/GTE  —  ASSET DISPOSAL LOG</t>
  </si>
  <si>
    <t xml:space="preserve">Record all disposed, written-off or transferred assets here. Requires Executive Director approval.</t>
  </si>
  <si>
    <t xml:space="preserve">Original Cost (₦)</t>
  </si>
  <si>
    <t xml:space="preserve">NBV at Disposal (₦)</t>
  </si>
  <si>
    <t xml:space="preserve">Disposal Date</t>
  </si>
  <si>
    <t xml:space="preserve">Method of Disposal</t>
  </si>
  <si>
    <t xml:space="preserve">Proceeds (₦)</t>
  </si>
  <si>
    <t xml:space="preserve">Gain / (Loss) (₦)</t>
  </si>
  <si>
    <t xml:space="preserve">Approved By</t>
  </si>
  <si>
    <t xml:space="preserve">Donor Asset?</t>
  </si>
  <si>
    <t xml:space="preserve">Notes</t>
  </si>
  <si>
    <t xml:space="preserve">SEA-000</t>
  </si>
  <si>
    <t xml:space="preserve">Old Desktop Computer</t>
  </si>
  <si>
    <t xml:space="preserve">2024-12-31</t>
  </si>
  <si>
    <t xml:space="preserve">Donated to school</t>
  </si>
  <si>
    <t xml:space="preserve">No</t>
  </si>
  <si>
    <t xml:space="preserve">End of useful life — donated per ED approval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</si>
</sst>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₦#,##0;&quot;(₦&quot;#,##0\)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2EFDA"/>
      </patternFill>
    </fill>
    <fill>
      <patternFill patternType="solid">
        <fgColor rgb="FFFFFFFF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E2EFDA"/>
        <bgColor rgb="FFEBF3FB"/>
      </patternFill>
    </fill>
    <fill>
      <patternFill patternType="solid">
        <fgColor rgb="FFFCE4D6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E6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4" min="3" style="1" width="16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1" min="10" style="1" width="14"/>
    <col collapsed="false" customWidth="true" hidden="false" outlineLevel="0" max="14" min="12" style="1" width="18"/>
    <col collapsed="false" customWidth="true" hidden="false" outlineLevel="0" max="15" min="15" style="1" width="12"/>
    <col collapsed="false" customWidth="true" hidden="false" outlineLevel="0" max="17" min="16" style="1" width="16"/>
    <col collapsed="false" customWidth="true" hidden="false" outlineLevel="0" max="18" min="18" style="1" width="22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customFormat="false" ht="36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customFormat="false" ht="18" hidden="false" customHeight="true" outlineLevel="0" collapsed="false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7" t="s">
        <v>27</v>
      </c>
      <c r="H5" s="6" t="s">
        <v>28</v>
      </c>
      <c r="I5" s="8" t="n">
        <v>350000</v>
      </c>
      <c r="J5" s="7" t="n">
        <v>3</v>
      </c>
      <c r="K5" s="9" t="n">
        <f aca="false">1/J5</f>
        <v>0.333333333333333</v>
      </c>
      <c r="L5" s="8" t="n">
        <f aca="false">I5/J5</f>
        <v>116666.666666667</v>
      </c>
      <c r="M5" s="8" t="n">
        <f aca="false">L5*1</f>
        <v>116666.666666667</v>
      </c>
      <c r="N5" s="8" t="n">
        <f aca="false">I5-M5</f>
        <v>233333.333333333</v>
      </c>
      <c r="O5" s="6" t="s">
        <v>29</v>
      </c>
      <c r="P5" s="7" t="s">
        <v>30</v>
      </c>
      <c r="Q5" s="6" t="s">
        <v>26</v>
      </c>
      <c r="R5" s="6"/>
    </row>
    <row r="6" customFormat="false" ht="18" hidden="false" customHeight="true" outlineLevel="0" collapsed="false">
      <c r="A6" s="10" t="s">
        <v>31</v>
      </c>
      <c r="B6" s="10" t="s">
        <v>32</v>
      </c>
      <c r="C6" s="10" t="s">
        <v>23</v>
      </c>
      <c r="D6" s="10" t="s">
        <v>33</v>
      </c>
      <c r="E6" s="10" t="s">
        <v>25</v>
      </c>
      <c r="F6" s="10" t="s">
        <v>34</v>
      </c>
      <c r="G6" s="11" t="s">
        <v>27</v>
      </c>
      <c r="H6" s="10" t="s">
        <v>28</v>
      </c>
      <c r="I6" s="12" t="n">
        <v>185000</v>
      </c>
      <c r="J6" s="11" t="n">
        <v>3</v>
      </c>
      <c r="K6" s="13" t="n">
        <f aca="false">1/J6</f>
        <v>0.333333333333333</v>
      </c>
      <c r="L6" s="12" t="n">
        <f aca="false">I6/J6</f>
        <v>61666.6666666667</v>
      </c>
      <c r="M6" s="12" t="n">
        <f aca="false">L6*1</f>
        <v>61666.6666666667</v>
      </c>
      <c r="N6" s="12" t="n">
        <f aca="false">I6-M6</f>
        <v>123333.333333333</v>
      </c>
      <c r="O6" s="10" t="s">
        <v>29</v>
      </c>
      <c r="P6" s="11" t="s">
        <v>30</v>
      </c>
      <c r="Q6" s="10" t="s">
        <v>26</v>
      </c>
      <c r="R6" s="10"/>
    </row>
    <row r="7" customFormat="false" ht="18" hidden="false" customHeight="true" outlineLevel="0" collapsed="false">
      <c r="A7" s="6" t="s">
        <v>35</v>
      </c>
      <c r="B7" s="6" t="s">
        <v>36</v>
      </c>
      <c r="C7" s="6" t="s">
        <v>37</v>
      </c>
      <c r="D7" s="6" t="s">
        <v>38</v>
      </c>
      <c r="E7" s="6" t="s">
        <v>25</v>
      </c>
      <c r="F7" s="6" t="s">
        <v>39</v>
      </c>
      <c r="G7" s="7" t="s">
        <v>40</v>
      </c>
      <c r="H7" s="6" t="s">
        <v>41</v>
      </c>
      <c r="I7" s="8" t="n">
        <v>120000</v>
      </c>
      <c r="J7" s="7" t="n">
        <v>5</v>
      </c>
      <c r="K7" s="9" t="n">
        <f aca="false">1/J7</f>
        <v>0.2</v>
      </c>
      <c r="L7" s="8" t="n">
        <f aca="false">I7/J7</f>
        <v>24000</v>
      </c>
      <c r="M7" s="8" t="n">
        <f aca="false">L7*1</f>
        <v>24000</v>
      </c>
      <c r="N7" s="8" t="n">
        <f aca="false">I7-M7</f>
        <v>96000</v>
      </c>
      <c r="O7" s="6" t="s">
        <v>29</v>
      </c>
      <c r="P7" s="7" t="s">
        <v>30</v>
      </c>
      <c r="Q7" s="6" t="s">
        <v>26</v>
      </c>
      <c r="R7" s="6"/>
    </row>
    <row r="8" customFormat="false" ht="18" hidden="false" customHeight="true" outlineLevel="0" collapsed="false">
      <c r="A8" s="10" t="s">
        <v>42</v>
      </c>
      <c r="B8" s="10" t="s">
        <v>43</v>
      </c>
      <c r="C8" s="10" t="s">
        <v>37</v>
      </c>
      <c r="D8" s="10" t="s">
        <v>44</v>
      </c>
      <c r="E8" s="10" t="s">
        <v>25</v>
      </c>
      <c r="F8" s="10" t="s">
        <v>34</v>
      </c>
      <c r="G8" s="11" t="s">
        <v>40</v>
      </c>
      <c r="H8" s="10" t="s">
        <v>41</v>
      </c>
      <c r="I8" s="12" t="n">
        <v>90000</v>
      </c>
      <c r="J8" s="11" t="n">
        <v>5</v>
      </c>
      <c r="K8" s="13" t="n">
        <f aca="false">1/J8</f>
        <v>0.2</v>
      </c>
      <c r="L8" s="12" t="n">
        <f aca="false">I8/J8</f>
        <v>18000</v>
      </c>
      <c r="M8" s="12" t="n">
        <f aca="false">L8*1</f>
        <v>18000</v>
      </c>
      <c r="N8" s="12" t="n">
        <f aca="false">I8-M8</f>
        <v>72000</v>
      </c>
      <c r="O8" s="10" t="s">
        <v>29</v>
      </c>
      <c r="P8" s="11" t="s">
        <v>30</v>
      </c>
      <c r="Q8" s="10" t="s">
        <v>26</v>
      </c>
      <c r="R8" s="10"/>
    </row>
    <row r="9" customFormat="false" ht="18" hidden="false" customHeight="true" outlineLevel="0" collapsed="false">
      <c r="A9" s="6" t="s">
        <v>45</v>
      </c>
      <c r="B9" s="6" t="s">
        <v>46</v>
      </c>
      <c r="C9" s="6" t="s">
        <v>47</v>
      </c>
      <c r="D9" s="6" t="s">
        <v>48</v>
      </c>
      <c r="E9" s="6" t="s">
        <v>49</v>
      </c>
      <c r="F9" s="6" t="s">
        <v>50</v>
      </c>
      <c r="G9" s="7" t="s">
        <v>51</v>
      </c>
      <c r="H9" s="6" t="s">
        <v>52</v>
      </c>
      <c r="I9" s="8" t="n">
        <v>280000</v>
      </c>
      <c r="J9" s="7" t="n">
        <v>3</v>
      </c>
      <c r="K9" s="9" t="n">
        <f aca="false">1/J9</f>
        <v>0.333333333333333</v>
      </c>
      <c r="L9" s="8" t="n">
        <f aca="false">I9/J9</f>
        <v>93333.3333333333</v>
      </c>
      <c r="M9" s="8" t="n">
        <f aca="false">L9*1</f>
        <v>93333.3333333333</v>
      </c>
      <c r="N9" s="8" t="n">
        <f aca="false">I9-M9</f>
        <v>186666.666666667</v>
      </c>
      <c r="O9" s="6" t="s">
        <v>29</v>
      </c>
      <c r="P9" s="7" t="s">
        <v>30</v>
      </c>
      <c r="Q9" s="6" t="s">
        <v>26</v>
      </c>
      <c r="R9" s="6"/>
    </row>
    <row r="10" customFormat="false" ht="19.5" hidden="false" customHeight="true" outlineLevel="0" collapsed="false">
      <c r="A10" s="14" t="s">
        <v>53</v>
      </c>
      <c r="B10" s="14"/>
      <c r="C10" s="14"/>
      <c r="D10" s="14"/>
      <c r="E10" s="14"/>
      <c r="F10" s="14"/>
      <c r="G10" s="14"/>
      <c r="H10" s="14"/>
      <c r="I10" s="15" t="n">
        <f aca="false">SUM(I5:I9)</f>
        <v>1025000</v>
      </c>
      <c r="J10" s="16"/>
      <c r="K10" s="16"/>
      <c r="L10" s="15" t="n">
        <f aca="false">SUM(L5:L9)</f>
        <v>313666.666666667</v>
      </c>
      <c r="M10" s="15" t="n">
        <f aca="false">SUM(M5:M9)</f>
        <v>313666.666666667</v>
      </c>
      <c r="N10" s="15" t="n">
        <f aca="false">SUM(N5:N9)</f>
        <v>711333.333333333</v>
      </c>
      <c r="O10" s="16"/>
      <c r="P10" s="16"/>
      <c r="Q10" s="16"/>
      <c r="R10" s="16"/>
    </row>
    <row r="12" customFormat="false" ht="27.75" hidden="false" customHeight="true" outlineLevel="0" collapsed="false">
      <c r="A12" s="17" t="s">
        <v>54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</sheetData>
  <mergeCells count="5">
    <mergeCell ref="A1:R1"/>
    <mergeCell ref="A2:R2"/>
    <mergeCell ref="A3:R3"/>
    <mergeCell ref="A10:H10"/>
    <mergeCell ref="A12:R12"/>
  </mergeCells>
  <dataValidations count="2">
    <dataValidation allowBlank="true" errorStyle="stop" operator="between" showDropDown="false" showErrorMessage="false" showInputMessage="false" sqref="O5:O200" type="list">
      <formula1>"Good,Fair,Poor,Disposed,Under Repair"</formula1>
      <formula2>0</formula2>
    </dataValidation>
    <dataValidation allowBlank="true" errorStyle="stop" operator="between" showDropDown="false" showErrorMessage="false" showInputMessage="false" sqref="C5:C200" type="list">
      <formula1>"IT Equipment,Furniture &amp; Fittings,AV Equipment,Office Equipment,Vehicle,Generator,Other"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</cols>
  <sheetData>
    <row r="1" customFormat="false" ht="24" hidden="false" customHeight="true" outlineLevel="0" collapsed="false">
      <c r="A1" s="18" t="s">
        <v>55</v>
      </c>
      <c r="B1" s="18"/>
    </row>
    <row r="2" customFormat="false" ht="13.5" hidden="false" customHeight="true" outlineLevel="0" collapsed="false">
      <c r="A2" s="4" t="s">
        <v>56</v>
      </c>
      <c r="B2" s="4"/>
    </row>
    <row r="3" customFormat="false" ht="18" hidden="false" customHeight="true" outlineLevel="0" collapsed="false">
      <c r="A3" s="19" t="s">
        <v>57</v>
      </c>
      <c r="B3" s="19"/>
    </row>
    <row r="4" customFormat="false" ht="18" hidden="false" customHeight="true" outlineLevel="0" collapsed="false">
      <c r="A4" s="20" t="s">
        <v>3</v>
      </c>
      <c r="B4" s="21" t="s">
        <v>58</v>
      </c>
    </row>
    <row r="5" customFormat="false" ht="18" hidden="false" customHeight="true" outlineLevel="0" collapsed="false">
      <c r="A5" s="20" t="s">
        <v>4</v>
      </c>
      <c r="B5" s="22" t="s">
        <v>59</v>
      </c>
    </row>
    <row r="6" customFormat="false" ht="18" hidden="false" customHeight="true" outlineLevel="0" collapsed="false">
      <c r="A6" s="20" t="s">
        <v>5</v>
      </c>
      <c r="B6" s="21" t="s">
        <v>60</v>
      </c>
    </row>
    <row r="7" customFormat="false" ht="18" hidden="false" customHeight="true" outlineLevel="0" collapsed="false">
      <c r="A7" s="20" t="s">
        <v>6</v>
      </c>
      <c r="B7" s="22" t="s">
        <v>61</v>
      </c>
    </row>
    <row r="8" customFormat="false" ht="18" hidden="false" customHeight="true" outlineLevel="0" collapsed="false">
      <c r="A8" s="20" t="s">
        <v>7</v>
      </c>
      <c r="B8" s="21" t="s">
        <v>62</v>
      </c>
    </row>
    <row r="9" customFormat="false" ht="18" hidden="false" customHeight="true" outlineLevel="0" collapsed="false">
      <c r="A9" s="20" t="s">
        <v>8</v>
      </c>
      <c r="B9" s="22" t="s">
        <v>63</v>
      </c>
    </row>
    <row r="10" customFormat="false" ht="18" hidden="false" customHeight="true" outlineLevel="0" collapsed="false">
      <c r="A10" s="20" t="s">
        <v>9</v>
      </c>
      <c r="B10" s="21" t="s">
        <v>64</v>
      </c>
    </row>
    <row r="11" customFormat="false" ht="18" hidden="false" customHeight="true" outlineLevel="0" collapsed="false">
      <c r="A11" s="20" t="s">
        <v>10</v>
      </c>
      <c r="B11" s="22" t="s">
        <v>65</v>
      </c>
    </row>
    <row r="12" customFormat="false" ht="18" hidden="false" customHeight="true" outlineLevel="0" collapsed="false">
      <c r="A12" s="20" t="s">
        <v>11</v>
      </c>
      <c r="B12" s="21" t="s">
        <v>66</v>
      </c>
    </row>
    <row r="13" customFormat="false" ht="18" hidden="false" customHeight="true" outlineLevel="0" collapsed="false">
      <c r="A13" s="20" t="s">
        <v>12</v>
      </c>
      <c r="B13" s="22" t="s">
        <v>67</v>
      </c>
    </row>
    <row r="14" customFormat="false" ht="18" hidden="false" customHeight="true" outlineLevel="0" collapsed="false">
      <c r="A14" s="20" t="s">
        <v>13</v>
      </c>
      <c r="B14" s="21" t="s">
        <v>68</v>
      </c>
    </row>
    <row r="15" customFormat="false" ht="18" hidden="false" customHeight="true" outlineLevel="0" collapsed="false">
      <c r="A15" s="20" t="s">
        <v>69</v>
      </c>
      <c r="B15" s="22" t="s">
        <v>70</v>
      </c>
    </row>
    <row r="16" customFormat="false" ht="18" hidden="false" customHeight="true" outlineLevel="0" collapsed="false">
      <c r="A16" s="20" t="s">
        <v>71</v>
      </c>
      <c r="B16" s="21" t="s">
        <v>72</v>
      </c>
    </row>
    <row r="17" customFormat="false" ht="18" hidden="false" customHeight="true" outlineLevel="0" collapsed="false">
      <c r="A17" s="20" t="s">
        <v>16</v>
      </c>
      <c r="B17" s="22" t="s">
        <v>73</v>
      </c>
    </row>
    <row r="18" customFormat="false" ht="18" hidden="false" customHeight="true" outlineLevel="0" collapsed="false">
      <c r="A18" s="20" t="s">
        <v>17</v>
      </c>
      <c r="B18" s="21" t="s">
        <v>74</v>
      </c>
    </row>
    <row r="19" customFormat="false" ht="18" hidden="false" customHeight="true" outlineLevel="0" collapsed="false">
      <c r="A19" s="20" t="s">
        <v>18</v>
      </c>
      <c r="B19" s="22" t="s">
        <v>75</v>
      </c>
    </row>
    <row r="20" customFormat="false" ht="18" hidden="false" customHeight="true" outlineLevel="0" collapsed="false">
      <c r="A20" s="20" t="s">
        <v>19</v>
      </c>
      <c r="B20" s="21" t="s">
        <v>76</v>
      </c>
    </row>
    <row r="21" customFormat="false" ht="18" hidden="false" customHeight="true" outlineLevel="0" collapsed="false">
      <c r="A21" s="20" t="s">
        <v>20</v>
      </c>
      <c r="B21" s="22" t="s">
        <v>77</v>
      </c>
    </row>
    <row r="22" customFormat="false" ht="18" hidden="false" customHeight="true" outlineLevel="0" collapsed="false">
      <c r="A22" s="19" t="s">
        <v>78</v>
      </c>
      <c r="B22" s="19"/>
    </row>
    <row r="23" customFormat="false" ht="18" hidden="false" customHeight="true" outlineLevel="0" collapsed="false">
      <c r="A23" s="20" t="s">
        <v>79</v>
      </c>
      <c r="B23" s="23" t="s">
        <v>80</v>
      </c>
    </row>
    <row r="24" customFormat="false" ht="18" hidden="false" customHeight="true" outlineLevel="0" collapsed="false">
      <c r="A24" s="20" t="s">
        <v>81</v>
      </c>
      <c r="B24" s="22" t="s">
        <v>82</v>
      </c>
    </row>
    <row r="25" customFormat="false" ht="18" hidden="false" customHeight="true" outlineLevel="0" collapsed="false">
      <c r="A25" s="20" t="s">
        <v>83</v>
      </c>
      <c r="B25" s="23" t="s">
        <v>84</v>
      </c>
    </row>
    <row r="26" customFormat="false" ht="18" hidden="false" customHeight="true" outlineLevel="0" collapsed="false">
      <c r="A26" s="20" t="s">
        <v>85</v>
      </c>
      <c r="B26" s="22" t="s">
        <v>86</v>
      </c>
    </row>
    <row r="27" customFormat="false" ht="18" hidden="false" customHeight="true" outlineLevel="0" collapsed="false">
      <c r="A27" s="20" t="s">
        <v>87</v>
      </c>
      <c r="B27" s="23" t="s">
        <v>88</v>
      </c>
    </row>
    <row r="28" customFormat="false" ht="18" hidden="false" customHeight="true" outlineLevel="0" collapsed="false">
      <c r="A28" s="20" t="s">
        <v>89</v>
      </c>
      <c r="B28" s="22" t="s">
        <v>90</v>
      </c>
    </row>
    <row r="29" customFormat="false" ht="18" hidden="false" customHeight="true" outlineLevel="0" collapsed="false">
      <c r="A29" s="20" t="s">
        <v>91</v>
      </c>
      <c r="B29" s="23" t="s">
        <v>92</v>
      </c>
    </row>
    <row r="30" customFormat="false" ht="18" hidden="false" customHeight="true" outlineLevel="0" collapsed="false">
      <c r="A30" s="19" t="s">
        <v>93</v>
      </c>
      <c r="B30" s="19"/>
    </row>
    <row r="31" customFormat="false" ht="18" hidden="false" customHeight="true" outlineLevel="0" collapsed="false">
      <c r="A31" s="20" t="s">
        <v>94</v>
      </c>
      <c r="B31" s="24" t="s">
        <v>95</v>
      </c>
    </row>
    <row r="32" customFormat="false" ht="18" hidden="false" customHeight="true" outlineLevel="0" collapsed="false">
      <c r="A32" s="20" t="s">
        <v>96</v>
      </c>
      <c r="B32" s="22" t="s">
        <v>97</v>
      </c>
    </row>
    <row r="33" customFormat="false" ht="18" hidden="false" customHeight="true" outlineLevel="0" collapsed="false">
      <c r="A33" s="20" t="s">
        <v>98</v>
      </c>
      <c r="B33" s="24" t="s">
        <v>99</v>
      </c>
    </row>
    <row r="34" customFormat="false" ht="18" hidden="false" customHeight="true" outlineLevel="0" collapsed="false">
      <c r="A34" s="20" t="s">
        <v>100</v>
      </c>
      <c r="B34" s="22" t="s">
        <v>101</v>
      </c>
    </row>
    <row r="35" customFormat="false" ht="18" hidden="false" customHeight="true" outlineLevel="0" collapsed="false">
      <c r="A35" s="20" t="s">
        <v>102</v>
      </c>
      <c r="B35" s="24" t="s">
        <v>103</v>
      </c>
    </row>
    <row r="37" customFormat="false" ht="18" hidden="false" customHeight="true" outlineLevel="0" collapsed="false">
      <c r="A37" s="25" t="s">
        <v>104</v>
      </c>
      <c r="B37" s="25"/>
    </row>
    <row r="38" customFormat="false" ht="42" hidden="false" customHeight="true" outlineLevel="0" collapsed="false">
      <c r="A38" s="20" t="s">
        <v>105</v>
      </c>
      <c r="B38" s="23" t="s">
        <v>106</v>
      </c>
    </row>
    <row r="39" customFormat="false" ht="42" hidden="false" customHeight="true" outlineLevel="0" collapsed="false">
      <c r="A39" s="20" t="s">
        <v>107</v>
      </c>
      <c r="B39" s="22" t="s">
        <v>108</v>
      </c>
    </row>
    <row r="40" customFormat="false" ht="42" hidden="false" customHeight="true" outlineLevel="0" collapsed="false">
      <c r="A40" s="20" t="s">
        <v>109</v>
      </c>
      <c r="B40" s="23" t="s">
        <v>110</v>
      </c>
    </row>
    <row r="41" customFormat="false" ht="42" hidden="false" customHeight="true" outlineLevel="0" collapsed="false">
      <c r="A41" s="20" t="s">
        <v>111</v>
      </c>
      <c r="B41" s="22" t="s">
        <v>112</v>
      </c>
    </row>
    <row r="42" customFormat="false" ht="42" hidden="false" customHeight="true" outlineLevel="0" collapsed="false">
      <c r="A42" s="20" t="s">
        <v>113</v>
      </c>
      <c r="B42" s="23" t="s">
        <v>114</v>
      </c>
    </row>
    <row r="43" customFormat="false" ht="42" hidden="false" customHeight="true" outlineLevel="0" collapsed="false">
      <c r="A43" s="20" t="s">
        <v>115</v>
      </c>
      <c r="B43" s="22" t="s">
        <v>116</v>
      </c>
    </row>
  </sheetData>
  <mergeCells count="6">
    <mergeCell ref="A1:B1"/>
    <mergeCell ref="A2:B2"/>
    <mergeCell ref="A3:B3"/>
    <mergeCell ref="A22:B22"/>
    <mergeCell ref="A30:B30"/>
    <mergeCell ref="A37:B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9" min="8" style="1" width="18"/>
    <col collapsed="false" customWidth="true" hidden="false" outlineLevel="0" max="10" min="10" style="1" width="14"/>
    <col collapsed="false" customWidth="true" hidden="false" outlineLevel="0" max="11" min="11" style="1" width="24"/>
  </cols>
  <sheetData>
    <row r="1" customFormat="false" ht="21.75" hidden="false" customHeight="true" outlineLevel="0" collapsed="false">
      <c r="A1" s="18" t="s">
        <v>117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Format="false" ht="13.5" hidden="false" customHeight="true" outlineLevel="0" collapsed="false">
      <c r="A2" s="4" t="s">
        <v>118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customFormat="false" ht="30" hidden="false" customHeight="true" outlineLevel="0" collapsed="false">
      <c r="A3" s="5" t="s">
        <v>3</v>
      </c>
      <c r="B3" s="5" t="s">
        <v>4</v>
      </c>
      <c r="C3" s="5" t="s">
        <v>119</v>
      </c>
      <c r="D3" s="5" t="s">
        <v>120</v>
      </c>
      <c r="E3" s="5" t="s">
        <v>121</v>
      </c>
      <c r="F3" s="5" t="s">
        <v>122</v>
      </c>
      <c r="G3" s="5" t="s">
        <v>123</v>
      </c>
      <c r="H3" s="5" t="s">
        <v>124</v>
      </c>
      <c r="I3" s="5" t="s">
        <v>125</v>
      </c>
      <c r="J3" s="5" t="s">
        <v>126</v>
      </c>
      <c r="K3" s="5" t="s">
        <v>127</v>
      </c>
    </row>
    <row r="4" customFormat="false" ht="18" hidden="false" customHeight="true" outlineLevel="0" collapsed="false">
      <c r="A4" s="6" t="s">
        <v>128</v>
      </c>
      <c r="B4" s="6" t="s">
        <v>129</v>
      </c>
      <c r="C4" s="8" t="n">
        <v>75000</v>
      </c>
      <c r="D4" s="8" t="n">
        <v>0</v>
      </c>
      <c r="E4" s="6" t="s">
        <v>130</v>
      </c>
      <c r="F4" s="6" t="s">
        <v>131</v>
      </c>
      <c r="G4" s="8" t="n">
        <v>0</v>
      </c>
      <c r="H4" s="8" t="n">
        <f aca="false">G4-D4</f>
        <v>0</v>
      </c>
      <c r="I4" s="6" t="s">
        <v>39</v>
      </c>
      <c r="J4" s="6" t="s">
        <v>132</v>
      </c>
      <c r="K4" s="6" t="s">
        <v>133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2026-03-18T11:29:52Z</dcterms:created>
  <dc:creator>openpyxl</dc:creator>
  <dc:description/>
  <dc:language>en-US</dc:language>
  <cp:lastModifiedBy/>
  <dcterms:modified xsi:type="dcterms:W3CDTF">2026-03-18T11:32:21Z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